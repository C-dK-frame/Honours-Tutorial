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zzie/Desktop/"/>
    </mc:Choice>
  </mc:AlternateContent>
  <xr:revisionPtr revIDLastSave="0" documentId="13_ncr:1_{F524CF43-D878-3242-B0E1-19EAD085D96D}" xr6:coauthVersionLast="47" xr6:coauthVersionMax="47" xr10:uidLastSave="{00000000-0000-0000-0000-000000000000}"/>
  <bookViews>
    <workbookView xWindow="0" yWindow="600" windowWidth="28800" windowHeight="15480" xr2:uid="{36E79687-7CB0-4529-A36E-4A626F32FE41}"/>
  </bookViews>
  <sheets>
    <sheet name="Zooplankton community " sheetId="1" r:id="rId1"/>
  </sheets>
  <definedNames>
    <definedName name="_xlchart.v1.0" hidden="1">'Zooplankton community '!$S$2:$S$8</definedName>
    <definedName name="_xlchart.v1.1" hidden="1">'Zooplankton community '!$S$9:$S$15</definedName>
    <definedName name="_xlchart.v1.2" hidden="1">'Zooplankton community '!$R$2:$R$8</definedName>
    <definedName name="_xlchart.v1.3" hidden="1">'Zooplankton community '!$R$9:$R$15</definedName>
    <definedName name="_xlchart.v1.4" hidden="1">'Zooplankton community '!$Q$2:$Q$8</definedName>
    <definedName name="_xlchart.v1.5" hidden="1">'Zooplankton community '!$Q$9:$Q$15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" l="1"/>
  <c r="S16" i="1"/>
  <c r="Q16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2" i="1"/>
</calcChain>
</file>

<file path=xl/sharedStrings.xml><?xml version="1.0" encoding="utf-8"?>
<sst xmlns="http://schemas.openxmlformats.org/spreadsheetml/2006/main" count="32" uniqueCount="20">
  <si>
    <t>Site</t>
  </si>
  <si>
    <t>Isopoda</t>
  </si>
  <si>
    <t>Amphipoda</t>
  </si>
  <si>
    <t>Nematoda</t>
  </si>
  <si>
    <t>Salp</t>
  </si>
  <si>
    <t>Copepoda</t>
  </si>
  <si>
    <t>Eggs</t>
  </si>
  <si>
    <t>Chaetognaths</t>
  </si>
  <si>
    <t>Polychaetea</t>
  </si>
  <si>
    <t>Crustacean larvae</t>
  </si>
  <si>
    <t>Egg_mass</t>
  </si>
  <si>
    <t>Euphausid</t>
  </si>
  <si>
    <t>Ganzekraal</t>
  </si>
  <si>
    <t>Silwerstroom</t>
  </si>
  <si>
    <t>Mysid</t>
  </si>
  <si>
    <t>Medusa</t>
  </si>
  <si>
    <t>Mite</t>
  </si>
  <si>
    <t xml:space="preserve">Abundance </t>
  </si>
  <si>
    <t xml:space="preserve">Richness </t>
  </si>
  <si>
    <t xml:space="preserve">Diversity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</si>
</sst>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21106-7366-470E-B522-DBBED00DE219}">
  <dimension ref="A1:S25"/>
  <sheetViews>
    <sheetView tabSelected="1" zoomScale="116" workbookViewId="0">
      <pane xSplit="1" topLeftCell="B1" activePane="topRight" state="frozen"/>
      <selection pane="topRight" activeCell="D19" sqref="D19"/>
    </sheetView>
  </sheetViews>
  <sheetFormatPr baseColWidth="10" defaultColWidth="8.83203125" defaultRowHeight="15" x14ac:dyDescent="0.2"/>
  <cols>
    <col min="1" max="1" width="12.83203125" bestFit="1" customWidth="1"/>
    <col min="3" max="3" width="11.33203125" bestFit="1" customWidth="1"/>
    <col min="4" max="4" width="10.33203125" bestFit="1" customWidth="1"/>
    <col min="5" max="5" width="4.6640625" bestFit="1" customWidth="1"/>
    <col min="6" max="6" width="10" bestFit="1" customWidth="1"/>
    <col min="7" max="7" width="5.5" bestFit="1" customWidth="1"/>
    <col min="8" max="8" width="13.33203125" bestFit="1" customWidth="1"/>
    <col min="9" max="9" width="11.83203125" bestFit="1" customWidth="1"/>
    <col min="10" max="10" width="16.6640625" bestFit="1" customWidth="1"/>
    <col min="11" max="11" width="9.5" bestFit="1" customWidth="1"/>
    <col min="12" max="12" width="10.1640625" bestFit="1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14</v>
      </c>
      <c r="N1" t="s">
        <v>15</v>
      </c>
      <c r="O1" t="s">
        <v>16</v>
      </c>
      <c r="Q1" t="s">
        <v>17</v>
      </c>
      <c r="R1" t="s">
        <v>18</v>
      </c>
      <c r="S1" t="s">
        <v>19</v>
      </c>
    </row>
    <row r="2" spans="1:19" x14ac:dyDescent="0.2">
      <c r="A2" t="s">
        <v>12</v>
      </c>
      <c r="B2" s="1">
        <v>6</v>
      </c>
      <c r="C2" s="1">
        <v>4</v>
      </c>
      <c r="D2" s="1">
        <v>0</v>
      </c>
      <c r="E2" s="1">
        <v>0</v>
      </c>
      <c r="F2" s="1">
        <v>4</v>
      </c>
      <c r="G2" s="1">
        <v>0</v>
      </c>
      <c r="H2" s="1">
        <v>12</v>
      </c>
      <c r="I2" s="1">
        <v>0</v>
      </c>
      <c r="J2" s="1">
        <v>4</v>
      </c>
      <c r="K2" s="1">
        <v>1</v>
      </c>
      <c r="L2">
        <v>1</v>
      </c>
      <c r="M2" s="1">
        <v>0</v>
      </c>
      <c r="N2" s="1">
        <v>0</v>
      </c>
      <c r="O2" s="1">
        <v>0</v>
      </c>
      <c r="Q2" s="1">
        <f>SUM(B2:O2)</f>
        <v>32</v>
      </c>
      <c r="R2" s="1">
        <v>7</v>
      </c>
      <c r="S2" s="2">
        <v>1.6879999999999999</v>
      </c>
    </row>
    <row r="3" spans="1:19" x14ac:dyDescent="0.2">
      <c r="A3" t="s">
        <v>12</v>
      </c>
      <c r="B3" s="1">
        <v>2</v>
      </c>
      <c r="C3" s="1">
        <v>1</v>
      </c>
      <c r="D3" s="1">
        <v>0</v>
      </c>
      <c r="E3" s="1">
        <v>0</v>
      </c>
      <c r="F3" s="1">
        <v>5</v>
      </c>
      <c r="G3" s="1">
        <v>2</v>
      </c>
      <c r="H3" s="1">
        <v>22</v>
      </c>
      <c r="I3" s="1">
        <v>1</v>
      </c>
      <c r="J3" s="1">
        <v>1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Q3" s="1">
        <f t="shared" ref="Q3:Q15" si="0">SUM(B3:O3)</f>
        <v>34</v>
      </c>
      <c r="R3" s="1">
        <v>7</v>
      </c>
      <c r="S3" s="2">
        <v>1.208</v>
      </c>
    </row>
    <row r="4" spans="1:19" x14ac:dyDescent="0.2">
      <c r="A4" t="s">
        <v>12</v>
      </c>
      <c r="B4" s="1">
        <v>2</v>
      </c>
      <c r="C4" s="1">
        <v>1</v>
      </c>
      <c r="D4" s="1">
        <v>1</v>
      </c>
      <c r="E4" s="1">
        <v>0</v>
      </c>
      <c r="F4" s="1">
        <v>2</v>
      </c>
      <c r="G4" s="1">
        <v>0</v>
      </c>
      <c r="H4" s="1">
        <v>3</v>
      </c>
      <c r="I4" s="1">
        <v>0</v>
      </c>
      <c r="J4" s="1">
        <v>2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Q4" s="1">
        <f t="shared" si="0"/>
        <v>11</v>
      </c>
      <c r="R4" s="1">
        <v>6</v>
      </c>
      <c r="S4" s="2">
        <v>1.72</v>
      </c>
    </row>
    <row r="5" spans="1:19" x14ac:dyDescent="0.2">
      <c r="A5" t="s">
        <v>12</v>
      </c>
      <c r="B5" s="1">
        <v>0</v>
      </c>
      <c r="C5" s="1">
        <v>0</v>
      </c>
      <c r="D5" s="1">
        <v>0</v>
      </c>
      <c r="E5" s="1">
        <v>0</v>
      </c>
      <c r="F5" s="1">
        <v>3</v>
      </c>
      <c r="G5" s="1">
        <v>1</v>
      </c>
      <c r="H5" s="1">
        <v>5</v>
      </c>
      <c r="I5" s="1">
        <v>0</v>
      </c>
      <c r="J5" s="1">
        <v>3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Q5" s="1">
        <f t="shared" si="0"/>
        <v>12</v>
      </c>
      <c r="R5" s="1">
        <v>4</v>
      </c>
      <c r="S5" s="2">
        <v>1.2649999999999999</v>
      </c>
    </row>
    <row r="6" spans="1:19" x14ac:dyDescent="0.2">
      <c r="A6" t="s">
        <v>12</v>
      </c>
      <c r="B6" s="1">
        <v>3</v>
      </c>
      <c r="C6" s="1">
        <v>3</v>
      </c>
      <c r="D6" s="1">
        <v>0</v>
      </c>
      <c r="E6" s="1">
        <v>0</v>
      </c>
      <c r="F6" s="1">
        <v>1</v>
      </c>
      <c r="G6" s="1">
        <v>0</v>
      </c>
      <c r="H6" s="1">
        <v>12</v>
      </c>
      <c r="I6" s="1">
        <v>0</v>
      </c>
      <c r="J6" s="1">
        <v>4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Q6" s="1">
        <f t="shared" si="0"/>
        <v>23</v>
      </c>
      <c r="R6" s="1">
        <v>5</v>
      </c>
      <c r="S6" s="2">
        <v>1.3109999999999999</v>
      </c>
    </row>
    <row r="7" spans="1:19" x14ac:dyDescent="0.2">
      <c r="A7" t="s">
        <v>12</v>
      </c>
      <c r="B7" s="1">
        <v>5</v>
      </c>
      <c r="C7" s="1">
        <v>5</v>
      </c>
      <c r="D7" s="1">
        <v>0</v>
      </c>
      <c r="E7" s="1">
        <v>0</v>
      </c>
      <c r="F7" s="1">
        <v>16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1</v>
      </c>
      <c r="M7">
        <v>1</v>
      </c>
      <c r="N7" s="1">
        <v>0</v>
      </c>
      <c r="O7" s="1">
        <v>0</v>
      </c>
      <c r="Q7" s="1">
        <f t="shared" si="0"/>
        <v>29</v>
      </c>
      <c r="R7" s="1">
        <v>6</v>
      </c>
      <c r="S7" s="2">
        <v>1.2829999999999999</v>
      </c>
    </row>
    <row r="8" spans="1:19" x14ac:dyDescent="0.2">
      <c r="A8" t="s">
        <v>12</v>
      </c>
      <c r="B8" s="1">
        <v>3</v>
      </c>
      <c r="C8" s="1">
        <v>7</v>
      </c>
      <c r="D8" s="1">
        <v>0</v>
      </c>
      <c r="E8" s="1">
        <v>0</v>
      </c>
      <c r="F8" s="1">
        <v>5</v>
      </c>
      <c r="G8" s="1">
        <v>0</v>
      </c>
      <c r="H8" s="1">
        <v>0</v>
      </c>
      <c r="I8" s="1">
        <v>3</v>
      </c>
      <c r="J8" s="1">
        <v>0</v>
      </c>
      <c r="K8" s="1">
        <v>0</v>
      </c>
      <c r="L8" s="1">
        <v>0</v>
      </c>
      <c r="M8" s="1">
        <v>0</v>
      </c>
      <c r="N8">
        <v>3</v>
      </c>
      <c r="O8">
        <v>1</v>
      </c>
      <c r="Q8" s="1">
        <f t="shared" si="0"/>
        <v>22</v>
      </c>
      <c r="R8" s="1">
        <v>6</v>
      </c>
      <c r="S8" s="2">
        <v>1.657</v>
      </c>
    </row>
    <row r="9" spans="1:19" x14ac:dyDescent="0.2">
      <c r="A9" t="s">
        <v>13</v>
      </c>
      <c r="B9" s="1">
        <v>15</v>
      </c>
      <c r="C9" s="1">
        <v>5</v>
      </c>
      <c r="D9" s="1">
        <v>0</v>
      </c>
      <c r="E9" s="1">
        <v>1</v>
      </c>
      <c r="F9" s="1">
        <v>12</v>
      </c>
      <c r="G9" s="1">
        <v>45</v>
      </c>
      <c r="H9" s="1">
        <v>1</v>
      </c>
      <c r="I9" s="1">
        <v>0</v>
      </c>
      <c r="J9" s="1">
        <v>0</v>
      </c>
      <c r="K9" s="1">
        <v>0</v>
      </c>
      <c r="L9">
        <v>1</v>
      </c>
      <c r="M9" s="1">
        <v>0</v>
      </c>
      <c r="N9" s="1">
        <v>0</v>
      </c>
      <c r="O9" s="1">
        <v>0</v>
      </c>
      <c r="Q9" s="1">
        <f t="shared" si="0"/>
        <v>80</v>
      </c>
      <c r="R9" s="1">
        <v>7</v>
      </c>
      <c r="S9" s="2">
        <v>1.26</v>
      </c>
    </row>
    <row r="10" spans="1:19" x14ac:dyDescent="0.2">
      <c r="A10" t="s">
        <v>13</v>
      </c>
      <c r="B10" s="1">
        <v>10</v>
      </c>
      <c r="C10" s="1">
        <v>3</v>
      </c>
      <c r="D10" s="1">
        <v>1</v>
      </c>
      <c r="E10" s="1">
        <v>0</v>
      </c>
      <c r="F10" s="1">
        <v>3</v>
      </c>
      <c r="G10" s="1">
        <v>308</v>
      </c>
      <c r="H10" s="1">
        <v>0</v>
      </c>
      <c r="I10" s="1">
        <v>2</v>
      </c>
      <c r="J10" s="1">
        <v>2</v>
      </c>
      <c r="K10" s="1">
        <v>1</v>
      </c>
      <c r="L10">
        <v>0</v>
      </c>
      <c r="M10" s="1">
        <v>0</v>
      </c>
      <c r="N10" s="1">
        <v>0</v>
      </c>
      <c r="O10" s="1">
        <v>0</v>
      </c>
      <c r="Q10" s="1">
        <f t="shared" si="0"/>
        <v>330</v>
      </c>
      <c r="R10" s="1">
        <v>8</v>
      </c>
      <c r="S10" s="2">
        <v>0.35299999999999998</v>
      </c>
    </row>
    <row r="11" spans="1:19" x14ac:dyDescent="0.2">
      <c r="A11" t="s">
        <v>13</v>
      </c>
      <c r="B11" s="1">
        <v>9</v>
      </c>
      <c r="C11" s="1">
        <v>4</v>
      </c>
      <c r="D11" s="1">
        <v>0</v>
      </c>
      <c r="E11" s="1">
        <v>0</v>
      </c>
      <c r="F11" s="1">
        <v>1</v>
      </c>
      <c r="G11" s="1">
        <v>114</v>
      </c>
      <c r="H11" s="1">
        <v>0</v>
      </c>
      <c r="I11" s="1">
        <v>0</v>
      </c>
      <c r="J11" s="1">
        <v>1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Q11" s="1">
        <f t="shared" si="0"/>
        <v>129</v>
      </c>
      <c r="R11" s="1">
        <v>5</v>
      </c>
      <c r="S11" s="2">
        <v>0.47799999999999998</v>
      </c>
    </row>
    <row r="12" spans="1:19" x14ac:dyDescent="0.2">
      <c r="A12" t="s">
        <v>13</v>
      </c>
      <c r="B12" s="1">
        <v>7</v>
      </c>
      <c r="C12" s="1">
        <v>3</v>
      </c>
      <c r="D12" s="1">
        <v>0</v>
      </c>
      <c r="E12" s="1">
        <v>0</v>
      </c>
      <c r="F12" s="1">
        <v>2</v>
      </c>
      <c r="G12" s="1">
        <v>58</v>
      </c>
      <c r="H12" s="1">
        <v>1</v>
      </c>
      <c r="I12" s="1">
        <v>0</v>
      </c>
      <c r="J12" s="1">
        <v>2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Q12" s="1">
        <f t="shared" si="0"/>
        <v>73</v>
      </c>
      <c r="R12" s="1">
        <v>6</v>
      </c>
      <c r="S12" s="2">
        <v>0.79500000000000004</v>
      </c>
    </row>
    <row r="13" spans="1:19" x14ac:dyDescent="0.2">
      <c r="A13" t="s">
        <v>13</v>
      </c>
      <c r="B13" s="1">
        <v>5</v>
      </c>
      <c r="C13" s="1">
        <v>1</v>
      </c>
      <c r="D13" s="1">
        <v>0</v>
      </c>
      <c r="E13" s="1">
        <v>0</v>
      </c>
      <c r="F13" s="1">
        <v>2</v>
      </c>
      <c r="G13" s="1">
        <v>33</v>
      </c>
      <c r="H13" s="1">
        <v>0</v>
      </c>
      <c r="I13" s="1">
        <v>0</v>
      </c>
      <c r="J13" s="1">
        <v>1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Q13" s="1">
        <f t="shared" si="0"/>
        <v>42</v>
      </c>
      <c r="R13" s="1">
        <v>5</v>
      </c>
      <c r="S13" s="2">
        <v>0.76700000000000002</v>
      </c>
    </row>
    <row r="14" spans="1:19" x14ac:dyDescent="0.2">
      <c r="A14" t="s">
        <v>13</v>
      </c>
      <c r="B14" s="1">
        <v>0</v>
      </c>
      <c r="C14" s="1">
        <v>2</v>
      </c>
      <c r="D14" s="1">
        <v>0</v>
      </c>
      <c r="E14" s="1">
        <v>1</v>
      </c>
      <c r="F14" s="1">
        <v>18</v>
      </c>
      <c r="G14" s="1">
        <v>34</v>
      </c>
      <c r="H14" s="1">
        <v>0</v>
      </c>
      <c r="I14" s="1">
        <v>0</v>
      </c>
      <c r="J14" s="1">
        <v>0</v>
      </c>
      <c r="K14" s="1">
        <v>0</v>
      </c>
      <c r="L14" s="1">
        <v>2</v>
      </c>
      <c r="M14">
        <v>1</v>
      </c>
      <c r="N14">
        <v>23</v>
      </c>
      <c r="O14" s="1">
        <v>0</v>
      </c>
      <c r="Q14" s="1">
        <f t="shared" si="0"/>
        <v>81</v>
      </c>
      <c r="R14" s="1">
        <v>7</v>
      </c>
      <c r="S14" s="2">
        <v>1.347</v>
      </c>
    </row>
    <row r="15" spans="1:19" x14ac:dyDescent="0.2">
      <c r="A15" t="s">
        <v>13</v>
      </c>
      <c r="B15" s="1">
        <v>7</v>
      </c>
      <c r="C15" s="1">
        <v>2</v>
      </c>
      <c r="D15" s="1">
        <v>0</v>
      </c>
      <c r="E15" s="1">
        <v>12</v>
      </c>
      <c r="F15" s="1">
        <v>50</v>
      </c>
      <c r="G15" s="1">
        <v>0</v>
      </c>
      <c r="H15" s="1">
        <v>0</v>
      </c>
      <c r="I15" s="1">
        <v>1</v>
      </c>
      <c r="J15" s="1">
        <v>0</v>
      </c>
      <c r="K15" s="1">
        <v>0</v>
      </c>
      <c r="L15" s="1">
        <v>2</v>
      </c>
      <c r="M15">
        <v>50</v>
      </c>
      <c r="N15">
        <v>15</v>
      </c>
      <c r="O15" s="1">
        <v>0</v>
      </c>
      <c r="Q15" s="1">
        <f t="shared" si="0"/>
        <v>139</v>
      </c>
      <c r="R15" s="1">
        <v>8</v>
      </c>
      <c r="S15" s="2">
        <v>1.4950000000000001</v>
      </c>
    </row>
    <row r="16" spans="1:19" x14ac:dyDescent="0.2">
      <c r="Q16">
        <f>_xlfn.T.TEST(Q2:Q8,Q9:Q15,2,3)</f>
        <v>3.1639434404536197E-2</v>
      </c>
      <c r="R16">
        <f t="shared" ref="R16:S16" si="1">_xlfn.T.TEST(R2:R8,R9:R15,2,3)</f>
        <v>0.27831846105413777</v>
      </c>
      <c r="S16">
        <f t="shared" si="1"/>
        <v>2.247041339368866E-2</v>
      </c>
    </row>
    <row r="17" spans="2:15" x14ac:dyDescent="0.2">
      <c r="B17" s="1"/>
    </row>
    <row r="18" spans="2:15" x14ac:dyDescent="0.2">
      <c r="B18" s="1"/>
    </row>
    <row r="19" spans="2:15" x14ac:dyDescent="0.2">
      <c r="O19" s="1"/>
    </row>
    <row r="20" spans="2:15" x14ac:dyDescent="0.2">
      <c r="O20" s="1"/>
    </row>
    <row r="21" spans="2:15" x14ac:dyDescent="0.2">
      <c r="O21" s="1"/>
    </row>
    <row r="22" spans="2:15" x14ac:dyDescent="0.2">
      <c r="O22" s="1"/>
    </row>
    <row r="23" spans="2:15" x14ac:dyDescent="0.2">
      <c r="O23" s="1"/>
    </row>
    <row r="24" spans="2:15" x14ac:dyDescent="0.2">
      <c r="O24" s="1"/>
    </row>
    <row r="25" spans="2:15" x14ac:dyDescent="0.2">
      <c r="O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Zooplankton community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Gilmour</dc:creator>
  <cp:lastModifiedBy>Carys de Klerk</cp:lastModifiedBy>
  <dcterms:created xsi:type="dcterms:W3CDTF">2023-09-12T17:45:21Z</dcterms:created>
  <dcterms:modified xsi:type="dcterms:W3CDTF">2026-02-23T15:13:34Z</dcterms:modified>
</cp:coreProperties>
</file>